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la.sempertegui\Desktop\1_TS_UCSG_FINAL\18_TS_DESARROLLO_SOFTWARE\"/>
    </mc:Choice>
  </mc:AlternateContent>
  <xr:revisionPtr revIDLastSave="0" documentId="13_ncr:1_{48FE62A6-0C26-4C1E-A040-378CA128C86E}" xr6:coauthVersionLast="47" xr6:coauthVersionMax="47" xr10:uidLastSave="{00000000-0000-0000-0000-000000000000}"/>
  <bookViews>
    <workbookView xWindow="13992" yWindow="24" windowWidth="13224" windowHeight="15288" xr2:uid="{1B380C22-6FF9-4056-A99C-E15D4159134A}"/>
  </bookViews>
  <sheets>
    <sheet name="MALLA CURRICULA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" i="3" l="1"/>
  <c r="L59" i="3"/>
  <c r="L58" i="3"/>
  <c r="L57" i="3"/>
  <c r="L56" i="3"/>
  <c r="O69" i="3"/>
  <c r="G57" i="3"/>
  <c r="L61" i="3" l="1"/>
  <c r="N69" i="3"/>
  <c r="G70" i="3"/>
  <c r="Q57" i="3"/>
  <c r="Q58" i="3"/>
  <c r="Q56" i="3"/>
  <c r="G71" i="3"/>
  <c r="G58" i="3"/>
  <c r="G56" i="3"/>
  <c r="O67" i="3"/>
  <c r="N67" i="3"/>
  <c r="G68" i="3" l="1"/>
  <c r="G67" i="3"/>
  <c r="G69" i="3"/>
  <c r="Q59" i="3" l="1"/>
  <c r="G61" i="3" l="1"/>
  <c r="Q61" i="3" l="1"/>
  <c r="G72" i="3" l="1"/>
</calcChain>
</file>

<file path=xl/sharedStrings.xml><?xml version="1.0" encoding="utf-8"?>
<sst xmlns="http://schemas.openxmlformats.org/spreadsheetml/2006/main" count="141" uniqueCount="59">
  <si>
    <t xml:space="preserve">MALLA CURRICULAR </t>
  </si>
  <si>
    <t>TERCER NIVEL TECNOLÓGICO SUPERIOR
DESARROLLO DE SOFTWARE</t>
  </si>
  <si>
    <t>MODALIDAD EN LÍNEA</t>
  </si>
  <si>
    <r>
      <rPr>
        <b/>
        <sz val="12"/>
        <color theme="0"/>
        <rFont val="Cambria"/>
        <family val="1"/>
      </rPr>
      <t>PERIODO ACADÉMICO 1</t>
    </r>
    <r>
      <rPr>
        <sz val="12"/>
        <color theme="0"/>
        <rFont val="Cambria"/>
        <family val="1"/>
      </rPr>
      <t xml:space="preserve">          21,33 SEMANAS</t>
    </r>
    <r>
      <rPr>
        <sz val="9"/>
        <color theme="0"/>
        <rFont val="Cambria"/>
        <family val="1"/>
      </rPr>
      <t xml:space="preserve">
(21 semanas y 2 días)</t>
    </r>
  </si>
  <si>
    <r>
      <rPr>
        <b/>
        <sz val="12"/>
        <color theme="0"/>
        <rFont val="Cambria"/>
        <family val="1"/>
      </rPr>
      <t xml:space="preserve">PERIODO ACADÉMICO 2  </t>
    </r>
    <r>
      <rPr>
        <sz val="12"/>
        <color theme="0"/>
        <rFont val="Cambria"/>
        <family val="1"/>
      </rPr>
      <t xml:space="preserve">       21,33 SEMANAS</t>
    </r>
    <r>
      <rPr>
        <sz val="9"/>
        <color theme="0"/>
        <rFont val="Cambria"/>
        <family val="1"/>
      </rPr>
      <t xml:space="preserve">
(21 semanas y 2 días)</t>
    </r>
  </si>
  <si>
    <r>
      <rPr>
        <b/>
        <sz val="12"/>
        <color theme="0"/>
        <rFont val="Cambria"/>
        <family val="1"/>
      </rPr>
      <t xml:space="preserve">PERIODO ACADÉMICO 3   </t>
    </r>
    <r>
      <rPr>
        <sz val="12"/>
        <color theme="0"/>
        <rFont val="Cambria"/>
        <family val="1"/>
      </rPr>
      <t xml:space="preserve">      21,33 SEMANAS</t>
    </r>
    <r>
      <rPr>
        <sz val="9"/>
        <color theme="0"/>
        <rFont val="Cambria"/>
        <family val="1"/>
      </rPr>
      <t xml:space="preserve">
(21 semanas y 2 días)</t>
    </r>
  </si>
  <si>
    <t>MÓDULO A</t>
  </si>
  <si>
    <t xml:space="preserve">Comunicación efectiva y trabajo en equipo </t>
  </si>
  <si>
    <t>Seguridad y Optimización en Aplicaciones Móviles</t>
  </si>
  <si>
    <t>Pensamiento crítico y lógico</t>
  </si>
  <si>
    <t>No CREDITOS:</t>
  </si>
  <si>
    <t>No HORAS:</t>
  </si>
  <si>
    <t>TOTAL HORAS</t>
  </si>
  <si>
    <t xml:space="preserve">Cultura tecnológica y digital </t>
  </si>
  <si>
    <t>Introducción a Lenguajes de Programación</t>
  </si>
  <si>
    <t>Aplicación de conceptos de Ingeniería de software</t>
  </si>
  <si>
    <t>Humanismo y Persona</t>
  </si>
  <si>
    <t>Implementación de Estructuras de Datos y Algoritmos Avanzados</t>
  </si>
  <si>
    <t>Metodologías de Desarrollo Web</t>
  </si>
  <si>
    <t>MÓDULO B</t>
  </si>
  <si>
    <t>Fundamentos de Programación y Algoritmos</t>
  </si>
  <si>
    <t xml:space="preserve">Fundamentos de bases de datos </t>
  </si>
  <si>
    <t>Principios de Redes y Comunicaciones</t>
  </si>
  <si>
    <t xml:space="preserve">Práctica Laboral </t>
  </si>
  <si>
    <t xml:space="preserve">Desarrollo de Interfaces de Usuario y Experiencia de Usuario (UI/UX) </t>
  </si>
  <si>
    <t>Principios de los Sistemas Operativos e implementación de Software Empresarial</t>
  </si>
  <si>
    <t>Bases para el desarrollo de Aplicaciones Móviles para Android</t>
  </si>
  <si>
    <t>Pruebas de Software y Aseguramiento de la Calidad</t>
  </si>
  <si>
    <t>MÓDULO C</t>
  </si>
  <si>
    <t>Bases para el desarrollo de Aplicaciones Móviles para iOS</t>
  </si>
  <si>
    <t>Humanismo y Sociedad</t>
  </si>
  <si>
    <t>Integración Curricular en Programación aplicada</t>
  </si>
  <si>
    <t>Bases para el desarrollo Cross-Platform</t>
  </si>
  <si>
    <t xml:space="preserve">Emprendimiento e innovación </t>
  </si>
  <si>
    <t xml:space="preserve">Investigación aplicada y titulación </t>
  </si>
  <si>
    <t xml:space="preserve">Servicio Comunitario </t>
  </si>
  <si>
    <t>CRÉDITOS/PAO:</t>
  </si>
  <si>
    <t>DOCENCIA</t>
  </si>
  <si>
    <t>PRACTICAS EXPERIMENTAL</t>
  </si>
  <si>
    <t>AUTÓNOMO</t>
  </si>
  <si>
    <t>AUTONOMO</t>
  </si>
  <si>
    <t>PRÁCTICA LABORAL</t>
  </si>
  <si>
    <t xml:space="preserve">SERVICIO  COMUNITARIO </t>
  </si>
  <si>
    <t>HORAS/PAO:</t>
  </si>
  <si>
    <t>NÚMERO TOTAL DE ASIGNATURAS: 22</t>
  </si>
  <si>
    <t>TOTAL DE HORAS  DE LA CARRERA</t>
  </si>
  <si>
    <t>ANÁLISIS DE ASIGNATURAS PARA PRÁCTICAS PRE PROFESIONALES</t>
  </si>
  <si>
    <t>COMPONENTE</t>
  </si>
  <si>
    <t>HORAS</t>
  </si>
  <si>
    <t>TIPO DE PRÁCTICAS</t>
  </si>
  <si>
    <t>CRÉDITOS</t>
  </si>
  <si>
    <t>ASIGNATURA</t>
  </si>
  <si>
    <t>Docencia</t>
  </si>
  <si>
    <t>Vinculación con la sociedad</t>
  </si>
  <si>
    <t>Práctico - experimental</t>
  </si>
  <si>
    <t>Autónomo</t>
  </si>
  <si>
    <t>Prácticas Laborales</t>
  </si>
  <si>
    <t>TOTAL</t>
  </si>
  <si>
    <r>
      <rPr>
        <b/>
        <sz val="8.5"/>
        <rFont val="Cambria"/>
        <family val="1"/>
      </rPr>
      <t>Aclaratoria:</t>
    </r>
    <r>
      <rPr>
        <sz val="8.5"/>
        <rFont val="Cambria"/>
        <family val="1"/>
      </rPr>
      <t xml:space="preserve">
Las horas de Prácticas de Servicio Comunitario estarán distribuidas de la siguiente forma: 48 horas dentro de la malla que equivale a 1 crédito. Y, 12 horas adicionales fuera de malla que equivale a 0.25 créditos. Se precisa además que estas horas adicionales serán planificadas por la carrera para que los estudiantes las puedan realizar antes de la titulación. De esta manera, se da cumplimiento a las 60 horas reglamentarias.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</si>
</sst>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8"/>
      <name val="Cambria"/>
      <family val="1"/>
    </font>
    <font>
      <sz val="11"/>
      <color theme="1"/>
      <name val="Cambria"/>
      <family val="1"/>
    </font>
    <font>
      <sz val="11"/>
      <color theme="0"/>
      <name val="Cambria"/>
      <family val="1"/>
    </font>
    <font>
      <sz val="11"/>
      <color rgb="FF32D6D6"/>
      <name val="Cambria"/>
      <family val="1"/>
    </font>
    <font>
      <sz val="12"/>
      <color theme="0"/>
      <name val="Cambria"/>
      <family val="1"/>
    </font>
    <font>
      <sz val="9"/>
      <color theme="0"/>
      <name val="Cambria"/>
      <family val="1"/>
    </font>
    <font>
      <sz val="12"/>
      <color rgb="FF32D6D6"/>
      <name val="Cambria"/>
      <family val="1"/>
    </font>
    <font>
      <sz val="11"/>
      <color rgb="FF9A0000"/>
      <name val="Cambria"/>
      <family val="1"/>
    </font>
    <font>
      <b/>
      <sz val="11"/>
      <name val="Cambria"/>
      <family val="1"/>
    </font>
    <font>
      <b/>
      <sz val="11"/>
      <color rgb="FF002060"/>
      <name val="Cambria"/>
      <family val="1"/>
    </font>
    <font>
      <sz val="11"/>
      <name val="Cambria"/>
      <family val="1"/>
    </font>
    <font>
      <sz val="11"/>
      <color rgb="FF002060"/>
      <name val="Cambria"/>
      <family val="1"/>
    </font>
    <font>
      <sz val="8"/>
      <name val="Cambria"/>
      <family val="1"/>
    </font>
    <font>
      <sz val="10"/>
      <color theme="1"/>
      <name val="Cambria"/>
      <family val="1"/>
    </font>
    <font>
      <sz val="10"/>
      <name val="Cambria"/>
      <family val="1"/>
    </font>
    <font>
      <b/>
      <sz val="8"/>
      <color rgb="FF32D6D6"/>
      <name val="Cambria"/>
      <family val="1"/>
    </font>
    <font>
      <sz val="10"/>
      <color rgb="FF002060"/>
      <name val="Cambria"/>
      <family val="1"/>
    </font>
    <font>
      <sz val="8"/>
      <color rgb="FF32D6D6"/>
      <name val="Cambria"/>
      <family val="1"/>
    </font>
    <font>
      <b/>
      <sz val="10"/>
      <color rgb="FF32D6D6"/>
      <name val="Cambria"/>
      <family val="1"/>
    </font>
    <font>
      <b/>
      <sz val="11"/>
      <color theme="0"/>
      <name val="Cambria"/>
      <family val="1"/>
    </font>
    <font>
      <sz val="8"/>
      <color rgb="FF002060"/>
      <name val="Cambria"/>
      <family val="1"/>
    </font>
    <font>
      <sz val="8"/>
      <color theme="1"/>
      <name val="Cambria"/>
      <family val="1"/>
    </font>
    <font>
      <b/>
      <sz val="9"/>
      <color rgb="FF32D6D6"/>
      <name val="Cambria"/>
      <family val="1"/>
    </font>
    <font>
      <b/>
      <sz val="11"/>
      <color rgb="FF32D6D6"/>
      <name val="Cambria"/>
      <family val="1"/>
    </font>
    <font>
      <sz val="9"/>
      <name val="Cambria"/>
      <family val="1"/>
    </font>
    <font>
      <b/>
      <sz val="12"/>
      <name val="Cambria"/>
      <family val="1"/>
    </font>
    <font>
      <b/>
      <sz val="15"/>
      <name val="Cambria"/>
      <family val="1"/>
    </font>
    <font>
      <sz val="8.5"/>
      <name val="Cambria"/>
      <family val="1"/>
    </font>
    <font>
      <b/>
      <sz val="8.5"/>
      <name val="Cambria"/>
      <family val="1"/>
    </font>
    <font>
      <b/>
      <sz val="9"/>
      <color theme="0"/>
      <name val="Cambria"/>
      <family val="1"/>
    </font>
    <font>
      <b/>
      <sz val="12"/>
      <color theme="0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A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003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5" fillId="3" borderId="0" xfId="0" applyFont="1" applyFill="1"/>
    <xf numFmtId="0" fontId="3" fillId="3" borderId="0" xfId="0" applyFont="1" applyFill="1"/>
    <xf numFmtId="0" fontId="8" fillId="3" borderId="0" xfId="0" applyFont="1" applyFill="1"/>
    <xf numFmtId="0" fontId="9" fillId="0" borderId="0" xfId="0" applyFont="1"/>
    <xf numFmtId="0" fontId="11" fillId="3" borderId="0" xfId="0" applyFont="1" applyFill="1" applyAlignment="1">
      <alignment horizontal="center" vertical="center" textRotation="90"/>
    </xf>
    <xf numFmtId="0" fontId="13" fillId="3" borderId="0" xfId="0" applyFont="1" applyFill="1"/>
    <xf numFmtId="0" fontId="3" fillId="0" borderId="0" xfId="0" applyFont="1" applyAlignment="1">
      <alignment horizontal="center"/>
    </xf>
    <xf numFmtId="0" fontId="2" fillId="1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0" xfId="0" applyFont="1"/>
    <xf numFmtId="0" fontId="5" fillId="3" borderId="0" xfId="0" applyFont="1" applyFill="1" applyAlignment="1">
      <alignment horizontal="center" textRotation="90"/>
    </xf>
    <xf numFmtId="0" fontId="2" fillId="10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textRotation="90"/>
    </xf>
    <xf numFmtId="0" fontId="17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" vertical="center"/>
    </xf>
    <xf numFmtId="0" fontId="21" fillId="0" borderId="0" xfId="0" applyFont="1" applyAlignment="1">
      <alignment vertical="center" textRotation="90"/>
    </xf>
    <xf numFmtId="0" fontId="23" fillId="8" borderId="4" xfId="0" applyFont="1" applyFill="1" applyBorder="1" applyAlignment="1">
      <alignment vertical="center"/>
    </xf>
    <xf numFmtId="0" fontId="23" fillId="8" borderId="2" xfId="0" applyFont="1" applyFill="1" applyBorder="1" applyAlignment="1">
      <alignment vertical="center"/>
    </xf>
    <xf numFmtId="0" fontId="11" fillId="3" borderId="0" xfId="0" applyFont="1" applyFill="1" applyAlignment="1">
      <alignment horizontal="center"/>
    </xf>
    <xf numFmtId="0" fontId="24" fillId="3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1" fontId="2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/>
    </xf>
    <xf numFmtId="0" fontId="26" fillId="0" borderId="0" xfId="0" applyFont="1" applyAlignment="1">
      <alignment vertical="center" wrapText="1"/>
    </xf>
    <xf numFmtId="0" fontId="16" fillId="3" borderId="0" xfId="0" applyFont="1" applyFill="1" applyAlignment="1">
      <alignment vertical="center" wrapText="1"/>
    </xf>
    <xf numFmtId="1" fontId="2" fillId="6" borderId="10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textRotation="90"/>
    </xf>
    <xf numFmtId="0" fontId="23" fillId="7" borderId="5" xfId="0" applyFont="1" applyFill="1" applyBorder="1" applyAlignment="1">
      <alignment horizontal="left" vertical="center" wrapText="1"/>
    </xf>
    <xf numFmtId="0" fontId="23" fillId="7" borderId="6" xfId="0" applyFont="1" applyFill="1" applyBorder="1" applyAlignment="1">
      <alignment horizontal="left" vertical="center" wrapText="1"/>
    </xf>
    <xf numFmtId="0" fontId="14" fillId="11" borderId="4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12" borderId="4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1" fontId="2" fillId="6" borderId="5" xfId="0" applyNumberFormat="1" applyFont="1" applyFill="1" applyBorder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 wrapText="1"/>
    </xf>
    <xf numFmtId="0" fontId="12" fillId="12" borderId="9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" fontId="2" fillId="6" borderId="4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6" borderId="2" xfId="0" applyNumberFormat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1" fontId="2" fillId="6" borderId="7" xfId="0" applyNumberFormat="1" applyFont="1" applyFill="1" applyBorder="1" applyAlignment="1">
      <alignment horizontal="center" vertical="center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9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23" fillId="9" borderId="4" xfId="0" applyFont="1" applyFill="1" applyBorder="1" applyAlignment="1">
      <alignment horizontal="left" vertical="center" wrapText="1"/>
    </xf>
    <xf numFmtId="0" fontId="23" fillId="9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22" fillId="3" borderId="7" xfId="0" applyFont="1" applyFill="1" applyBorder="1" applyAlignment="1">
      <alignment horizontal="center"/>
    </xf>
    <xf numFmtId="0" fontId="22" fillId="3" borderId="9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6" fillId="13" borderId="7" xfId="0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horizontal="left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0" borderId="13" xfId="0" applyFont="1" applyBorder="1" applyAlignment="1">
      <alignment horizontal="left" vertical="center" wrapText="1"/>
    </xf>
    <xf numFmtId="0" fontId="29" fillId="0" borderId="14" xfId="0" applyFont="1" applyBorder="1" applyAlignment="1">
      <alignment horizontal="left" vertical="center" wrapText="1"/>
    </xf>
    <xf numFmtId="0" fontId="29" fillId="0" borderId="15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FFFF"/>
      <color rgb="FF32D6D6"/>
      <color rgb="FF23B0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317961</xdr:colOff>
      <xdr:row>1</xdr:row>
      <xdr:rowOff>107018</xdr:rowOff>
    </xdr:from>
    <xdr:to>
      <xdr:col>5</xdr:col>
      <xdr:colOff>195942</xdr:colOff>
      <xdr:row>3</xdr:row>
      <xdr:rowOff>141514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E5207E-7F4D-4979-9721-9EC9EC16D42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98"/>
        <a:stretch/>
      </xdr:blipFill>
      <xdr:spPr bwMode="auto">
        <a:xfrm>
          <a:off x="720732" y="194104"/>
          <a:ext cx="1695896" cy="74206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59E5-0C88-44A9-B06A-6FA150B1D828}">
  <sheetPr>
    <pageSetUpPr fitToPage="1"/>
  </sheetPr>
  <dimension ref="A1:V75"/>
  <sheetViews>
    <sheetView showGridLines="0" tabSelected="1" zoomScale="80" zoomScaleNormal="80" workbookViewId="0">
      <selection activeCell="O1" activeCellId="2" sqref="E1:E1048576 J1:J1048576 O1:O1048576"/>
    </sheetView>
  </sheetViews>
  <sheetFormatPr defaultColWidth="11.5703125" defaultRowHeight="13.9"/>
  <cols>
    <col min="1" max="1" width="1.140625" style="3" customWidth="1"/>
    <col min="2" max="4" width="4.7109375" style="3" customWidth="1"/>
    <col min="5" max="5" width="16.85546875" style="3" customWidth="1"/>
    <col min="6" max="6" width="5.42578125" style="3" customWidth="1"/>
    <col min="7" max="7" width="4.28515625" style="3" customWidth="1"/>
    <col min="8" max="8" width="4.85546875" style="3" customWidth="1"/>
    <col min="9" max="9" width="10.7109375" style="3" customWidth="1"/>
    <col min="10" max="10" width="16.85546875" style="3" customWidth="1"/>
    <col min="11" max="11" width="5.5703125" style="3" customWidth="1"/>
    <col min="12" max="12" width="4.28515625" style="3" customWidth="1"/>
    <col min="13" max="13" width="4.85546875" style="3" customWidth="1"/>
    <col min="14" max="14" width="10.7109375" style="3" customWidth="1"/>
    <col min="15" max="15" width="16.85546875" style="3" customWidth="1"/>
    <col min="16" max="16" width="4.85546875" style="3" customWidth="1"/>
    <col min="17" max="17" width="4.28515625" style="3" customWidth="1"/>
    <col min="18" max="18" width="4.85546875" style="3" customWidth="1"/>
    <col min="19" max="19" width="11.5703125" style="3"/>
    <col min="20" max="20" width="0.85546875" style="3" customWidth="1"/>
    <col min="21" max="16384" width="11.5703125" style="3"/>
  </cols>
  <sheetData>
    <row r="1" spans="1:22" ht="6.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2" ht="18" customHeight="1">
      <c r="A2" s="2"/>
      <c r="B2" s="4"/>
      <c r="C2" s="4"/>
      <c r="D2" s="4"/>
      <c r="E2" s="4"/>
      <c r="F2" s="4"/>
      <c r="G2" s="4"/>
      <c r="H2" s="125" t="s">
        <v>0</v>
      </c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2"/>
    </row>
    <row r="3" spans="1:22" ht="37.9" customHeight="1">
      <c r="A3" s="2"/>
      <c r="B3" s="4"/>
      <c r="C3" s="4"/>
      <c r="D3" s="4"/>
      <c r="E3" s="4"/>
      <c r="F3" s="4"/>
      <c r="G3" s="4"/>
      <c r="H3" s="126" t="s">
        <v>1</v>
      </c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2"/>
    </row>
    <row r="4" spans="1:22" ht="25.9" customHeight="1">
      <c r="A4" s="2"/>
      <c r="B4" s="4"/>
      <c r="C4" s="4"/>
      <c r="D4" s="4"/>
      <c r="E4" s="4"/>
      <c r="F4" s="4"/>
      <c r="G4" s="4"/>
      <c r="H4" s="127" t="s">
        <v>2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2"/>
      <c r="V4" s="1"/>
    </row>
    <row r="5" spans="1:22" ht="6.6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2" ht="15.6" customHeight="1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"/>
      <c r="T6" s="2"/>
    </row>
    <row r="7" spans="1:22" ht="46.9" customHeight="1">
      <c r="A7" s="2"/>
      <c r="B7" s="5"/>
      <c r="D7" s="6"/>
      <c r="E7" s="128" t="s">
        <v>3</v>
      </c>
      <c r="F7" s="129"/>
      <c r="G7" s="129"/>
      <c r="H7" s="130"/>
      <c r="I7" s="7"/>
      <c r="J7" s="128" t="s">
        <v>4</v>
      </c>
      <c r="K7" s="129"/>
      <c r="L7" s="129"/>
      <c r="M7" s="130"/>
      <c r="N7" s="7"/>
      <c r="O7" s="128" t="s">
        <v>5</v>
      </c>
      <c r="P7" s="129"/>
      <c r="Q7" s="129"/>
      <c r="R7" s="130"/>
      <c r="T7" s="2"/>
      <c r="V7" s="8"/>
    </row>
    <row r="8" spans="1:22" ht="22.9" customHeight="1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  <c r="T8" s="2"/>
    </row>
    <row r="9" spans="1:22" ht="63.6" customHeight="1">
      <c r="A9" s="2"/>
      <c r="B9" s="140"/>
      <c r="C9" s="43" t="s">
        <v>6</v>
      </c>
      <c r="D9" s="9"/>
      <c r="E9" s="67" t="s">
        <v>7</v>
      </c>
      <c r="F9" s="68"/>
      <c r="G9" s="68"/>
      <c r="H9" s="69"/>
      <c r="I9" s="10"/>
      <c r="J9" s="75" t="s">
        <v>8</v>
      </c>
      <c r="K9" s="76"/>
      <c r="L9" s="76"/>
      <c r="M9" s="77"/>
      <c r="N9" s="10"/>
      <c r="O9" s="122" t="s">
        <v>9</v>
      </c>
      <c r="P9" s="123"/>
      <c r="Q9" s="123"/>
      <c r="R9" s="124"/>
      <c r="S9" s="6"/>
      <c r="T9" s="2"/>
      <c r="V9" s="11"/>
    </row>
    <row r="10" spans="1:22">
      <c r="A10" s="2"/>
      <c r="B10" s="140"/>
      <c r="C10" s="43"/>
      <c r="D10" s="9"/>
      <c r="E10" s="12" t="s">
        <v>10</v>
      </c>
      <c r="F10" s="70">
        <v>3</v>
      </c>
      <c r="G10" s="70"/>
      <c r="H10" s="71"/>
      <c r="I10" s="10"/>
      <c r="J10" s="13" t="s">
        <v>10</v>
      </c>
      <c r="K10" s="78">
        <v>3</v>
      </c>
      <c r="L10" s="78"/>
      <c r="M10" s="79"/>
      <c r="N10" s="10"/>
      <c r="O10" s="13" t="s">
        <v>10</v>
      </c>
      <c r="P10" s="78">
        <v>3</v>
      </c>
      <c r="Q10" s="78"/>
      <c r="R10" s="79"/>
      <c r="S10" s="6"/>
      <c r="T10" s="2"/>
    </row>
    <row r="11" spans="1:22" ht="14.45" customHeight="1">
      <c r="A11" s="2"/>
      <c r="B11" s="140"/>
      <c r="C11" s="43"/>
      <c r="D11" s="9"/>
      <c r="E11" s="12" t="s">
        <v>11</v>
      </c>
      <c r="F11" s="14">
        <v>48</v>
      </c>
      <c r="G11" s="15">
        <v>16</v>
      </c>
      <c r="H11" s="16">
        <v>80</v>
      </c>
      <c r="I11" s="5"/>
      <c r="J11" s="13" t="s">
        <v>11</v>
      </c>
      <c r="K11" s="14">
        <v>48</v>
      </c>
      <c r="L11" s="15">
        <v>16</v>
      </c>
      <c r="M11" s="16">
        <v>80</v>
      </c>
      <c r="N11" s="5"/>
      <c r="O11" s="13" t="s">
        <v>11</v>
      </c>
      <c r="P11" s="14">
        <v>48</v>
      </c>
      <c r="Q11" s="15">
        <v>16</v>
      </c>
      <c r="R11" s="16">
        <v>80</v>
      </c>
      <c r="S11" s="6"/>
      <c r="T11" s="2"/>
    </row>
    <row r="12" spans="1:22" ht="14.45" customHeight="1">
      <c r="A12" s="2"/>
      <c r="B12" s="140"/>
      <c r="C12" s="43"/>
      <c r="D12" s="9"/>
      <c r="E12" s="12" t="s">
        <v>12</v>
      </c>
      <c r="F12" s="51">
        <v>144</v>
      </c>
      <c r="G12" s="52"/>
      <c r="H12" s="53"/>
      <c r="I12" s="5"/>
      <c r="J12" s="17" t="s">
        <v>12</v>
      </c>
      <c r="K12" s="48">
        <v>144</v>
      </c>
      <c r="L12" s="49"/>
      <c r="M12" s="50"/>
      <c r="N12" s="5"/>
      <c r="O12" s="17" t="s">
        <v>12</v>
      </c>
      <c r="P12" s="48">
        <v>144</v>
      </c>
      <c r="Q12" s="49"/>
      <c r="R12" s="50"/>
      <c r="S12" s="6"/>
      <c r="T12" s="2"/>
    </row>
    <row r="13" spans="1:22">
      <c r="A13" s="2"/>
      <c r="B13" s="140"/>
      <c r="C13" s="43"/>
      <c r="D13" s="9"/>
      <c r="E13" s="9"/>
      <c r="F13" s="5"/>
      <c r="G13" s="5"/>
      <c r="H13" s="5"/>
      <c r="I13" s="18"/>
      <c r="J13" s="9"/>
      <c r="K13" s="5"/>
      <c r="L13" s="5"/>
      <c r="M13" s="5"/>
      <c r="N13" s="18"/>
      <c r="O13" s="9"/>
      <c r="P13" s="5"/>
      <c r="Q13" s="5"/>
      <c r="R13" s="5"/>
      <c r="T13" s="2"/>
    </row>
    <row r="14" spans="1:22" ht="63.6" customHeight="1">
      <c r="A14" s="2"/>
      <c r="B14" s="140"/>
      <c r="C14" s="43"/>
      <c r="D14" s="9"/>
      <c r="E14" s="67" t="s">
        <v>13</v>
      </c>
      <c r="F14" s="68"/>
      <c r="G14" s="68"/>
      <c r="H14" s="69"/>
      <c r="I14" s="10"/>
      <c r="J14" s="75" t="s">
        <v>14</v>
      </c>
      <c r="K14" s="76"/>
      <c r="L14" s="76"/>
      <c r="M14" s="77"/>
      <c r="N14" s="10"/>
      <c r="O14" s="122" t="s">
        <v>15</v>
      </c>
      <c r="P14" s="123"/>
      <c r="Q14" s="123"/>
      <c r="R14" s="124"/>
      <c r="S14" s="6"/>
      <c r="T14" s="2"/>
    </row>
    <row r="15" spans="1:22" ht="13.9" customHeight="1">
      <c r="A15" s="2"/>
      <c r="B15" s="140"/>
      <c r="C15" s="43"/>
      <c r="D15" s="9"/>
      <c r="E15" s="12" t="s">
        <v>10</v>
      </c>
      <c r="F15" s="70">
        <v>3</v>
      </c>
      <c r="G15" s="70"/>
      <c r="H15" s="71"/>
      <c r="I15" s="10"/>
      <c r="J15" s="13" t="s">
        <v>10</v>
      </c>
      <c r="K15" s="78">
        <v>3</v>
      </c>
      <c r="L15" s="78"/>
      <c r="M15" s="79"/>
      <c r="N15" s="10"/>
      <c r="O15" s="13" t="s">
        <v>10</v>
      </c>
      <c r="P15" s="78">
        <v>3</v>
      </c>
      <c r="Q15" s="78"/>
      <c r="R15" s="79"/>
      <c r="S15" s="6"/>
      <c r="T15" s="2"/>
    </row>
    <row r="16" spans="1:22" ht="14.45" customHeight="1">
      <c r="A16" s="2"/>
      <c r="B16" s="140"/>
      <c r="C16" s="43"/>
      <c r="D16" s="9"/>
      <c r="E16" s="12" t="s">
        <v>11</v>
      </c>
      <c r="F16" s="14">
        <v>48</v>
      </c>
      <c r="G16" s="15">
        <v>16</v>
      </c>
      <c r="H16" s="16">
        <v>80</v>
      </c>
      <c r="I16" s="5"/>
      <c r="J16" s="13" t="s">
        <v>11</v>
      </c>
      <c r="K16" s="14">
        <v>48</v>
      </c>
      <c r="L16" s="15">
        <v>16</v>
      </c>
      <c r="M16" s="16">
        <v>80</v>
      </c>
      <c r="N16" s="5"/>
      <c r="O16" s="13" t="s">
        <v>11</v>
      </c>
      <c r="P16" s="14">
        <v>48</v>
      </c>
      <c r="Q16" s="15">
        <v>16</v>
      </c>
      <c r="R16" s="16">
        <v>80</v>
      </c>
      <c r="S16" s="6"/>
      <c r="T16" s="2"/>
    </row>
    <row r="17" spans="1:20" ht="14.45" customHeight="1">
      <c r="A17" s="2"/>
      <c r="B17" s="140"/>
      <c r="C17" s="43"/>
      <c r="D17" s="9"/>
      <c r="E17" s="12" t="s">
        <v>12</v>
      </c>
      <c r="F17" s="51">
        <v>144</v>
      </c>
      <c r="G17" s="52"/>
      <c r="H17" s="53"/>
      <c r="I17" s="5"/>
      <c r="J17" s="17" t="s">
        <v>12</v>
      </c>
      <c r="K17" s="48">
        <v>144</v>
      </c>
      <c r="L17" s="49"/>
      <c r="M17" s="50"/>
      <c r="N17" s="5"/>
      <c r="O17" s="17" t="s">
        <v>12</v>
      </c>
      <c r="P17" s="48">
        <v>144</v>
      </c>
      <c r="Q17" s="49"/>
      <c r="R17" s="50"/>
      <c r="S17" s="6"/>
      <c r="T17" s="2"/>
    </row>
    <row r="18" spans="1:20">
      <c r="A18" s="2"/>
      <c r="B18" s="140"/>
      <c r="C18" s="43"/>
      <c r="D18" s="9"/>
      <c r="E18" s="9"/>
      <c r="F18" s="5"/>
      <c r="G18" s="5"/>
      <c r="H18" s="5"/>
      <c r="I18" s="5"/>
      <c r="J18" s="9"/>
      <c r="K18" s="5"/>
      <c r="L18" s="5"/>
      <c r="M18" s="5"/>
      <c r="N18" s="5"/>
      <c r="O18" s="9"/>
      <c r="P18" s="5"/>
      <c r="Q18" s="5"/>
      <c r="R18" s="5"/>
      <c r="S18" s="6"/>
      <c r="T18" s="2"/>
    </row>
    <row r="19" spans="1:20" ht="63.6" customHeight="1">
      <c r="A19" s="2"/>
      <c r="B19" s="140"/>
      <c r="C19" s="43"/>
      <c r="D19" s="9"/>
      <c r="E19" s="67" t="s">
        <v>16</v>
      </c>
      <c r="F19" s="68"/>
      <c r="G19" s="68"/>
      <c r="H19" s="69"/>
      <c r="I19" s="10"/>
      <c r="J19" s="75" t="s">
        <v>17</v>
      </c>
      <c r="K19" s="76"/>
      <c r="L19" s="76"/>
      <c r="M19" s="77"/>
      <c r="N19" s="10"/>
      <c r="O19" s="75" t="s">
        <v>18</v>
      </c>
      <c r="P19" s="76"/>
      <c r="Q19" s="76"/>
      <c r="R19" s="77"/>
      <c r="S19" s="6"/>
      <c r="T19" s="2"/>
    </row>
    <row r="20" spans="1:20">
      <c r="A20" s="2"/>
      <c r="B20" s="140"/>
      <c r="C20" s="43"/>
      <c r="D20" s="9"/>
      <c r="E20" s="12" t="s">
        <v>10</v>
      </c>
      <c r="F20" s="70">
        <v>2</v>
      </c>
      <c r="G20" s="70"/>
      <c r="H20" s="71"/>
      <c r="I20" s="10"/>
      <c r="J20" s="13" t="s">
        <v>10</v>
      </c>
      <c r="K20" s="78">
        <v>2</v>
      </c>
      <c r="L20" s="78"/>
      <c r="M20" s="79"/>
      <c r="N20" s="10"/>
      <c r="O20" s="13" t="s">
        <v>10</v>
      </c>
      <c r="P20" s="78">
        <v>2</v>
      </c>
      <c r="Q20" s="78"/>
      <c r="R20" s="79"/>
      <c r="S20" s="6"/>
      <c r="T20" s="2"/>
    </row>
    <row r="21" spans="1:20" ht="14.45" customHeight="1">
      <c r="A21" s="2"/>
      <c r="B21" s="140"/>
      <c r="C21" s="43"/>
      <c r="D21" s="9"/>
      <c r="E21" s="12" t="s">
        <v>11</v>
      </c>
      <c r="F21" s="14">
        <v>32</v>
      </c>
      <c r="G21" s="15">
        <v>16</v>
      </c>
      <c r="H21" s="16">
        <v>48</v>
      </c>
      <c r="I21" s="5"/>
      <c r="J21" s="13" t="s">
        <v>11</v>
      </c>
      <c r="K21" s="14">
        <v>32</v>
      </c>
      <c r="L21" s="15">
        <v>16</v>
      </c>
      <c r="M21" s="16">
        <v>48</v>
      </c>
      <c r="N21" s="5"/>
      <c r="O21" s="13" t="s">
        <v>11</v>
      </c>
      <c r="P21" s="14">
        <v>32</v>
      </c>
      <c r="Q21" s="15">
        <v>16</v>
      </c>
      <c r="R21" s="16">
        <v>48</v>
      </c>
      <c r="S21" s="6"/>
      <c r="T21" s="2"/>
    </row>
    <row r="22" spans="1:20" ht="14.45" customHeight="1">
      <c r="A22" s="2"/>
      <c r="B22" s="140"/>
      <c r="C22" s="43"/>
      <c r="D22" s="9"/>
      <c r="E22" s="12" t="s">
        <v>12</v>
      </c>
      <c r="F22" s="51">
        <v>96</v>
      </c>
      <c r="G22" s="52"/>
      <c r="H22" s="53"/>
      <c r="I22" s="5"/>
      <c r="J22" s="17" t="s">
        <v>12</v>
      </c>
      <c r="K22" s="48">
        <v>96</v>
      </c>
      <c r="L22" s="49"/>
      <c r="M22" s="50"/>
      <c r="N22" s="5"/>
      <c r="O22" s="17" t="s">
        <v>12</v>
      </c>
      <c r="P22" s="48">
        <v>96</v>
      </c>
      <c r="Q22" s="49"/>
      <c r="R22" s="50"/>
      <c r="S22" s="6"/>
      <c r="T22" s="2"/>
    </row>
    <row r="23" spans="1:20">
      <c r="A23" s="2"/>
      <c r="B23" s="140"/>
      <c r="C23" s="19"/>
      <c r="D23" s="19"/>
      <c r="E23" s="19"/>
      <c r="F23" s="5"/>
      <c r="G23" s="5"/>
      <c r="H23" s="5"/>
      <c r="I23" s="5"/>
      <c r="J23" s="19"/>
      <c r="K23" s="5"/>
      <c r="L23" s="5"/>
      <c r="M23" s="5"/>
      <c r="N23" s="5"/>
      <c r="O23" s="19"/>
      <c r="P23" s="5"/>
      <c r="Q23" s="5"/>
      <c r="R23" s="5"/>
      <c r="S23" s="6"/>
      <c r="T23" s="2"/>
    </row>
    <row r="24" spans="1:20">
      <c r="A24" s="2"/>
      <c r="B24" s="140"/>
      <c r="C24" s="19"/>
      <c r="D24" s="19"/>
      <c r="E24" s="19"/>
      <c r="F24" s="5"/>
      <c r="G24" s="5"/>
      <c r="H24" s="5"/>
      <c r="I24" s="5"/>
      <c r="J24" s="19"/>
      <c r="K24" s="5"/>
      <c r="L24" s="5"/>
      <c r="M24" s="5"/>
      <c r="N24" s="5"/>
      <c r="O24" s="19"/>
      <c r="P24" s="5"/>
      <c r="Q24" s="5"/>
      <c r="R24" s="5"/>
      <c r="S24" s="6"/>
      <c r="T24" s="2"/>
    </row>
    <row r="25" spans="1:20" ht="63.6" customHeight="1">
      <c r="A25" s="2"/>
      <c r="B25" s="140"/>
      <c r="C25" s="43" t="s">
        <v>19</v>
      </c>
      <c r="D25" s="9"/>
      <c r="E25" s="75" t="s">
        <v>20</v>
      </c>
      <c r="F25" s="76"/>
      <c r="G25" s="76"/>
      <c r="H25" s="77"/>
      <c r="I25" s="10"/>
      <c r="J25" s="75" t="s">
        <v>21</v>
      </c>
      <c r="K25" s="76"/>
      <c r="L25" s="76"/>
      <c r="M25" s="77"/>
      <c r="N25" s="10"/>
      <c r="O25" s="75" t="s">
        <v>22</v>
      </c>
      <c r="P25" s="76"/>
      <c r="Q25" s="76"/>
      <c r="R25" s="77"/>
      <c r="S25" s="6"/>
      <c r="T25" s="2"/>
    </row>
    <row r="26" spans="1:20" ht="13.9" customHeight="1">
      <c r="A26" s="2"/>
      <c r="B26" s="140"/>
      <c r="C26" s="43"/>
      <c r="D26" s="9"/>
      <c r="E26" s="13" t="s">
        <v>10</v>
      </c>
      <c r="F26" s="78">
        <v>3</v>
      </c>
      <c r="G26" s="78"/>
      <c r="H26" s="79"/>
      <c r="I26" s="10"/>
      <c r="J26" s="13" t="s">
        <v>10</v>
      </c>
      <c r="K26" s="78">
        <v>2</v>
      </c>
      <c r="L26" s="78"/>
      <c r="M26" s="79"/>
      <c r="N26" s="10"/>
      <c r="O26" s="13" t="s">
        <v>10</v>
      </c>
      <c r="P26" s="78">
        <v>3</v>
      </c>
      <c r="Q26" s="78"/>
      <c r="R26" s="79"/>
      <c r="S26" s="6"/>
      <c r="T26" s="2"/>
    </row>
    <row r="27" spans="1:20" ht="14.45" customHeight="1">
      <c r="A27" s="2"/>
      <c r="B27" s="140"/>
      <c r="C27" s="43"/>
      <c r="D27" s="9"/>
      <c r="E27" s="13" t="s">
        <v>11</v>
      </c>
      <c r="F27" s="14">
        <v>48</v>
      </c>
      <c r="G27" s="15">
        <v>16</v>
      </c>
      <c r="H27" s="16">
        <v>80</v>
      </c>
      <c r="I27" s="5"/>
      <c r="J27" s="13" t="s">
        <v>11</v>
      </c>
      <c r="K27" s="14">
        <v>32</v>
      </c>
      <c r="L27" s="15">
        <v>16</v>
      </c>
      <c r="M27" s="16">
        <v>48</v>
      </c>
      <c r="N27" s="5"/>
      <c r="O27" s="13" t="s">
        <v>11</v>
      </c>
      <c r="P27" s="14">
        <v>48</v>
      </c>
      <c r="Q27" s="15">
        <v>16</v>
      </c>
      <c r="R27" s="16">
        <v>80</v>
      </c>
      <c r="S27" s="6"/>
      <c r="T27" s="2"/>
    </row>
    <row r="28" spans="1:20" ht="14.45" customHeight="1">
      <c r="A28" s="2"/>
      <c r="B28" s="140"/>
      <c r="C28" s="43"/>
      <c r="D28" s="9"/>
      <c r="E28" s="17" t="s">
        <v>12</v>
      </c>
      <c r="F28" s="48">
        <v>144</v>
      </c>
      <c r="G28" s="49"/>
      <c r="H28" s="50"/>
      <c r="I28" s="5"/>
      <c r="J28" s="17" t="s">
        <v>12</v>
      </c>
      <c r="K28" s="48">
        <v>96</v>
      </c>
      <c r="L28" s="49"/>
      <c r="M28" s="50"/>
      <c r="N28" s="5"/>
      <c r="O28" s="17" t="s">
        <v>12</v>
      </c>
      <c r="P28" s="48">
        <v>144</v>
      </c>
      <c r="Q28" s="49"/>
      <c r="R28" s="50"/>
      <c r="S28" s="6"/>
      <c r="T28" s="2"/>
    </row>
    <row r="29" spans="1:20" ht="21" customHeight="1">
      <c r="A29" s="2"/>
      <c r="B29" s="140"/>
      <c r="C29" s="43"/>
      <c r="D29" s="9"/>
      <c r="E29" s="9"/>
      <c r="F29" s="5"/>
      <c r="G29" s="5"/>
      <c r="H29" s="5"/>
      <c r="I29" s="5"/>
      <c r="J29" s="60" t="s">
        <v>23</v>
      </c>
      <c r="K29" s="61"/>
      <c r="L29" s="61"/>
      <c r="M29" s="62"/>
      <c r="N29" s="5"/>
      <c r="O29" s="9"/>
      <c r="P29" s="5"/>
      <c r="Q29" s="5"/>
      <c r="R29" s="5"/>
      <c r="S29" s="6"/>
      <c r="T29" s="2"/>
    </row>
    <row r="30" spans="1:20" ht="63.6" customHeight="1">
      <c r="A30" s="2"/>
      <c r="B30" s="140"/>
      <c r="C30" s="43"/>
      <c r="D30" s="9"/>
      <c r="E30" s="75" t="s">
        <v>24</v>
      </c>
      <c r="F30" s="76"/>
      <c r="G30" s="76"/>
      <c r="H30" s="77"/>
      <c r="I30" s="10"/>
      <c r="J30" s="20" t="s">
        <v>10</v>
      </c>
      <c r="K30" s="60">
        <v>5</v>
      </c>
      <c r="L30" s="61"/>
      <c r="M30" s="62"/>
      <c r="N30" s="10"/>
      <c r="O30" s="75" t="s">
        <v>25</v>
      </c>
      <c r="P30" s="76"/>
      <c r="Q30" s="76"/>
      <c r="R30" s="77"/>
      <c r="S30" s="6"/>
      <c r="T30" s="2"/>
    </row>
    <row r="31" spans="1:20" ht="13.9" customHeight="1">
      <c r="A31" s="2"/>
      <c r="B31" s="140"/>
      <c r="C31" s="43"/>
      <c r="D31" s="9"/>
      <c r="E31" s="13" t="s">
        <v>10</v>
      </c>
      <c r="F31" s="78">
        <v>2</v>
      </c>
      <c r="G31" s="78"/>
      <c r="H31" s="79"/>
      <c r="I31" s="10"/>
      <c r="J31" s="20" t="s">
        <v>11</v>
      </c>
      <c r="K31" s="60">
        <v>240</v>
      </c>
      <c r="L31" s="61"/>
      <c r="M31" s="62"/>
      <c r="N31" s="10"/>
      <c r="O31" s="13" t="s">
        <v>10</v>
      </c>
      <c r="P31" s="78">
        <v>2</v>
      </c>
      <c r="Q31" s="78"/>
      <c r="R31" s="79"/>
      <c r="S31" s="6"/>
      <c r="T31" s="2"/>
    </row>
    <row r="32" spans="1:20" ht="14.45" customHeight="1">
      <c r="A32" s="2"/>
      <c r="B32" s="140"/>
      <c r="C32" s="43"/>
      <c r="D32" s="9"/>
      <c r="E32" s="13" t="s">
        <v>11</v>
      </c>
      <c r="F32" s="14">
        <v>32</v>
      </c>
      <c r="G32" s="15">
        <v>16</v>
      </c>
      <c r="H32" s="16">
        <v>48</v>
      </c>
      <c r="I32" s="5"/>
      <c r="J32" s="21"/>
      <c r="K32" s="22"/>
      <c r="L32" s="22"/>
      <c r="M32" s="22"/>
      <c r="N32" s="5"/>
      <c r="O32" s="13" t="s">
        <v>11</v>
      </c>
      <c r="P32" s="14">
        <v>32</v>
      </c>
      <c r="Q32" s="15">
        <v>16</v>
      </c>
      <c r="R32" s="16">
        <v>48</v>
      </c>
      <c r="S32" s="6"/>
      <c r="T32" s="2"/>
    </row>
    <row r="33" spans="1:20" ht="14.45" customHeight="1">
      <c r="A33" s="2"/>
      <c r="B33" s="140"/>
      <c r="C33" s="43"/>
      <c r="D33" s="9"/>
      <c r="E33" s="17" t="s">
        <v>12</v>
      </c>
      <c r="F33" s="48">
        <v>96</v>
      </c>
      <c r="G33" s="49"/>
      <c r="H33" s="50"/>
      <c r="I33" s="5"/>
      <c r="J33" s="21"/>
      <c r="K33" s="22"/>
      <c r="L33" s="22"/>
      <c r="M33" s="22"/>
      <c r="N33" s="5"/>
      <c r="O33" s="17" t="s">
        <v>12</v>
      </c>
      <c r="P33" s="48">
        <v>96</v>
      </c>
      <c r="Q33" s="49"/>
      <c r="R33" s="50"/>
      <c r="S33" s="6"/>
      <c r="T33" s="2"/>
    </row>
    <row r="34" spans="1:20">
      <c r="A34" s="2"/>
      <c r="B34" s="140"/>
      <c r="C34" s="43"/>
      <c r="D34" s="9"/>
      <c r="E34" s="9"/>
      <c r="F34" s="5"/>
      <c r="G34" s="5"/>
      <c r="H34" s="5"/>
      <c r="I34" s="5"/>
      <c r="J34" s="9"/>
      <c r="K34" s="5"/>
      <c r="L34" s="5"/>
      <c r="M34" s="5"/>
      <c r="N34" s="5"/>
      <c r="O34" s="9"/>
      <c r="P34" s="5"/>
      <c r="Q34" s="5"/>
      <c r="R34" s="5"/>
      <c r="S34" s="6"/>
      <c r="T34" s="2"/>
    </row>
    <row r="35" spans="1:20" ht="63.6" customHeight="1">
      <c r="A35" s="2"/>
      <c r="B35" s="140"/>
      <c r="C35" s="43"/>
      <c r="D35" s="9"/>
      <c r="E35" s="75" t="s">
        <v>26</v>
      </c>
      <c r="F35" s="76"/>
      <c r="G35" s="76"/>
      <c r="H35" s="77"/>
      <c r="I35" s="10"/>
      <c r="J35" s="119"/>
      <c r="K35" s="119"/>
      <c r="L35" s="119"/>
      <c r="M35" s="119"/>
      <c r="N35" s="10"/>
      <c r="O35" s="75" t="s">
        <v>27</v>
      </c>
      <c r="P35" s="76"/>
      <c r="Q35" s="76"/>
      <c r="R35" s="77"/>
      <c r="S35" s="6"/>
      <c r="T35" s="2"/>
    </row>
    <row r="36" spans="1:20">
      <c r="A36" s="2"/>
      <c r="B36" s="140"/>
      <c r="C36" s="43"/>
      <c r="D36" s="9"/>
      <c r="E36" s="13" t="s">
        <v>10</v>
      </c>
      <c r="F36" s="78">
        <v>2</v>
      </c>
      <c r="G36" s="78"/>
      <c r="H36" s="79"/>
      <c r="I36" s="10"/>
      <c r="J36" s="21"/>
      <c r="K36" s="65"/>
      <c r="L36" s="65"/>
      <c r="M36" s="65"/>
      <c r="N36" s="10"/>
      <c r="O36" s="13" t="s">
        <v>10</v>
      </c>
      <c r="P36" s="78">
        <v>2</v>
      </c>
      <c r="Q36" s="78"/>
      <c r="R36" s="79"/>
      <c r="S36" s="6"/>
      <c r="T36" s="2"/>
    </row>
    <row r="37" spans="1:20" ht="14.45" customHeight="1">
      <c r="A37" s="2"/>
      <c r="B37" s="140"/>
      <c r="C37" s="43"/>
      <c r="D37" s="9"/>
      <c r="E37" s="13" t="s">
        <v>11</v>
      </c>
      <c r="F37" s="14">
        <v>32</v>
      </c>
      <c r="G37" s="15">
        <v>16</v>
      </c>
      <c r="H37" s="16">
        <v>48</v>
      </c>
      <c r="I37" s="5"/>
      <c r="J37" s="21"/>
      <c r="K37" s="22"/>
      <c r="L37" s="22"/>
      <c r="M37" s="22"/>
      <c r="N37" s="5"/>
      <c r="O37" s="13" t="s">
        <v>11</v>
      </c>
      <c r="P37" s="14">
        <v>32</v>
      </c>
      <c r="Q37" s="15">
        <v>16</v>
      </c>
      <c r="R37" s="16">
        <v>48</v>
      </c>
      <c r="S37" s="6"/>
      <c r="T37" s="2"/>
    </row>
    <row r="38" spans="1:20" ht="14.45" customHeight="1">
      <c r="A38" s="2"/>
      <c r="B38" s="140"/>
      <c r="C38" s="43"/>
      <c r="D38" s="9"/>
      <c r="E38" s="17" t="s">
        <v>12</v>
      </c>
      <c r="F38" s="48">
        <v>96</v>
      </c>
      <c r="G38" s="49"/>
      <c r="H38" s="50"/>
      <c r="I38" s="5"/>
      <c r="J38" s="21"/>
      <c r="K38" s="22"/>
      <c r="L38" s="22"/>
      <c r="M38" s="22"/>
      <c r="N38" s="5"/>
      <c r="O38" s="17" t="s">
        <v>12</v>
      </c>
      <c r="P38" s="48">
        <v>96</v>
      </c>
      <c r="Q38" s="49"/>
      <c r="R38" s="50"/>
      <c r="S38" s="6"/>
      <c r="T38" s="2"/>
    </row>
    <row r="39" spans="1:20">
      <c r="A39" s="2"/>
      <c r="B39" s="140"/>
      <c r="C39" s="23"/>
      <c r="D39" s="9"/>
      <c r="E39" s="9"/>
      <c r="F39" s="24"/>
      <c r="G39" s="24"/>
      <c r="H39" s="25"/>
      <c r="I39" s="5"/>
      <c r="J39" s="9"/>
      <c r="K39" s="24"/>
      <c r="L39" s="24"/>
      <c r="M39" s="25"/>
      <c r="N39" s="5"/>
      <c r="O39" s="9"/>
      <c r="P39" s="24"/>
      <c r="Q39" s="24"/>
      <c r="R39" s="25"/>
      <c r="S39" s="6"/>
      <c r="T39" s="2"/>
    </row>
    <row r="40" spans="1:20">
      <c r="A40" s="2"/>
      <c r="B40" s="140"/>
      <c r="C40" s="19"/>
      <c r="D40" s="19"/>
      <c r="E40" s="19"/>
      <c r="F40" s="5"/>
      <c r="G40" s="5"/>
      <c r="H40" s="5"/>
      <c r="I40" s="5"/>
      <c r="J40" s="19"/>
      <c r="K40" s="5"/>
      <c r="L40" s="5"/>
      <c r="M40" s="5"/>
      <c r="N40" s="5"/>
      <c r="O40" s="19"/>
      <c r="P40" s="5"/>
      <c r="Q40" s="5"/>
      <c r="R40" s="5"/>
      <c r="S40" s="6"/>
      <c r="T40" s="2"/>
    </row>
    <row r="41" spans="1:20" ht="63.6" customHeight="1">
      <c r="A41" s="2"/>
      <c r="B41" s="140"/>
      <c r="C41" s="43" t="s">
        <v>28</v>
      </c>
      <c r="D41" s="9"/>
      <c r="E41" s="122" t="s">
        <v>29</v>
      </c>
      <c r="F41" s="123"/>
      <c r="G41" s="123"/>
      <c r="H41" s="124"/>
      <c r="I41" s="10"/>
      <c r="J41" s="67" t="s">
        <v>30</v>
      </c>
      <c r="K41" s="68"/>
      <c r="L41" s="68"/>
      <c r="M41" s="69"/>
      <c r="N41" s="10"/>
      <c r="O41" s="75" t="s">
        <v>31</v>
      </c>
      <c r="P41" s="76"/>
      <c r="Q41" s="76"/>
      <c r="R41" s="77"/>
      <c r="S41" s="6"/>
      <c r="T41" s="2"/>
    </row>
    <row r="42" spans="1:20" ht="13.9" customHeight="1">
      <c r="A42" s="2"/>
      <c r="B42" s="140"/>
      <c r="C42" s="43"/>
      <c r="D42" s="9"/>
      <c r="E42" s="13" t="s">
        <v>10</v>
      </c>
      <c r="F42" s="78">
        <v>3</v>
      </c>
      <c r="G42" s="78"/>
      <c r="H42" s="79"/>
      <c r="I42" s="10"/>
      <c r="J42" s="12" t="s">
        <v>10</v>
      </c>
      <c r="K42" s="70">
        <v>2</v>
      </c>
      <c r="L42" s="70"/>
      <c r="M42" s="71"/>
      <c r="N42" s="10"/>
      <c r="O42" s="13" t="s">
        <v>10</v>
      </c>
      <c r="P42" s="78">
        <v>3</v>
      </c>
      <c r="Q42" s="78"/>
      <c r="R42" s="79"/>
      <c r="S42" s="6"/>
      <c r="T42" s="2"/>
    </row>
    <row r="43" spans="1:20" ht="14.45" customHeight="1">
      <c r="A43" s="2"/>
      <c r="B43" s="140"/>
      <c r="C43" s="43"/>
      <c r="D43" s="9"/>
      <c r="E43" s="13" t="s">
        <v>11</v>
      </c>
      <c r="F43" s="14">
        <v>48</v>
      </c>
      <c r="G43" s="15">
        <v>16</v>
      </c>
      <c r="H43" s="16">
        <v>80</v>
      </c>
      <c r="I43" s="5"/>
      <c r="J43" s="12" t="s">
        <v>11</v>
      </c>
      <c r="K43" s="14">
        <v>32</v>
      </c>
      <c r="L43" s="15">
        <v>16</v>
      </c>
      <c r="M43" s="16">
        <v>48</v>
      </c>
      <c r="N43" s="5"/>
      <c r="O43" s="13" t="s">
        <v>11</v>
      </c>
      <c r="P43" s="14">
        <v>48</v>
      </c>
      <c r="Q43" s="15">
        <v>16</v>
      </c>
      <c r="R43" s="16">
        <v>80</v>
      </c>
      <c r="S43" s="6"/>
      <c r="T43" s="2"/>
    </row>
    <row r="44" spans="1:20" ht="14.45" customHeight="1">
      <c r="A44" s="2"/>
      <c r="B44" s="140"/>
      <c r="C44" s="43"/>
      <c r="D44" s="9"/>
      <c r="E44" s="17" t="s">
        <v>12</v>
      </c>
      <c r="F44" s="48">
        <v>144</v>
      </c>
      <c r="G44" s="49"/>
      <c r="H44" s="50"/>
      <c r="I44" s="5"/>
      <c r="J44" s="12" t="s">
        <v>12</v>
      </c>
      <c r="K44" s="51">
        <v>96</v>
      </c>
      <c r="L44" s="52"/>
      <c r="M44" s="53"/>
      <c r="N44" s="5"/>
      <c r="O44" s="17" t="s">
        <v>12</v>
      </c>
      <c r="P44" s="48">
        <v>144</v>
      </c>
      <c r="Q44" s="49"/>
      <c r="R44" s="50"/>
      <c r="S44" s="6"/>
      <c r="T44" s="2"/>
    </row>
    <row r="45" spans="1:20">
      <c r="A45" s="2"/>
      <c r="B45" s="140"/>
      <c r="C45" s="43"/>
      <c r="D45" s="9"/>
      <c r="E45" s="9"/>
      <c r="F45" s="5"/>
      <c r="G45" s="5"/>
      <c r="H45" s="5"/>
      <c r="I45" s="5"/>
      <c r="J45" s="9"/>
      <c r="K45" s="5"/>
      <c r="L45" s="5"/>
      <c r="M45" s="5"/>
      <c r="N45" s="5"/>
      <c r="O45" s="9"/>
      <c r="P45" s="5"/>
      <c r="Q45" s="5"/>
      <c r="R45" s="5"/>
      <c r="S45" s="6"/>
      <c r="T45" s="2"/>
    </row>
    <row r="46" spans="1:20" ht="54" customHeight="1">
      <c r="A46" s="2"/>
      <c r="B46" s="140"/>
      <c r="C46" s="43"/>
      <c r="D46" s="9"/>
      <c r="E46" s="75" t="s">
        <v>32</v>
      </c>
      <c r="F46" s="76"/>
      <c r="G46" s="76"/>
      <c r="H46" s="77"/>
      <c r="I46" s="10"/>
      <c r="J46" s="67" t="s">
        <v>33</v>
      </c>
      <c r="K46" s="68"/>
      <c r="L46" s="68"/>
      <c r="M46" s="69"/>
      <c r="N46" s="10"/>
      <c r="O46" s="67" t="s">
        <v>34</v>
      </c>
      <c r="P46" s="68"/>
      <c r="Q46" s="68"/>
      <c r="R46" s="69"/>
      <c r="S46" s="6"/>
      <c r="T46" s="2"/>
    </row>
    <row r="47" spans="1:20" ht="13.9" customHeight="1">
      <c r="A47" s="2"/>
      <c r="B47" s="140"/>
      <c r="C47" s="43"/>
      <c r="D47" s="9"/>
      <c r="E47" s="13" t="s">
        <v>10</v>
      </c>
      <c r="F47" s="78">
        <v>2</v>
      </c>
      <c r="G47" s="78"/>
      <c r="H47" s="79"/>
      <c r="I47" s="10"/>
      <c r="J47" s="12" t="s">
        <v>10</v>
      </c>
      <c r="K47" s="70">
        <v>2</v>
      </c>
      <c r="L47" s="70"/>
      <c r="M47" s="71"/>
      <c r="N47" s="10"/>
      <c r="O47" s="12" t="s">
        <v>10</v>
      </c>
      <c r="P47" s="70">
        <v>2</v>
      </c>
      <c r="Q47" s="70"/>
      <c r="R47" s="71"/>
      <c r="S47" s="6"/>
      <c r="T47" s="2"/>
    </row>
    <row r="48" spans="1:20" ht="14.45" customHeight="1">
      <c r="A48" s="2"/>
      <c r="B48" s="140"/>
      <c r="C48" s="43"/>
      <c r="D48" s="9"/>
      <c r="E48" s="13" t="s">
        <v>11</v>
      </c>
      <c r="F48" s="14">
        <v>32</v>
      </c>
      <c r="G48" s="15">
        <v>16</v>
      </c>
      <c r="H48" s="16">
        <v>48</v>
      </c>
      <c r="I48" s="5"/>
      <c r="J48" s="12" t="s">
        <v>11</v>
      </c>
      <c r="K48" s="14">
        <v>32</v>
      </c>
      <c r="L48" s="15">
        <v>16</v>
      </c>
      <c r="M48" s="16">
        <v>48</v>
      </c>
      <c r="N48" s="5"/>
      <c r="O48" s="12" t="s">
        <v>11</v>
      </c>
      <c r="P48" s="14">
        <v>32</v>
      </c>
      <c r="Q48" s="15">
        <v>16</v>
      </c>
      <c r="R48" s="16">
        <v>48</v>
      </c>
      <c r="S48" s="6"/>
      <c r="T48" s="2"/>
    </row>
    <row r="49" spans="1:20" ht="20.45" customHeight="1">
      <c r="A49" s="2"/>
      <c r="B49" s="140"/>
      <c r="C49" s="43"/>
      <c r="D49" s="9"/>
      <c r="E49" s="17" t="s">
        <v>12</v>
      </c>
      <c r="F49" s="48">
        <v>96</v>
      </c>
      <c r="G49" s="49"/>
      <c r="H49" s="50"/>
      <c r="I49" s="5"/>
      <c r="J49" s="12" t="s">
        <v>12</v>
      </c>
      <c r="K49" s="51">
        <v>96</v>
      </c>
      <c r="L49" s="52"/>
      <c r="M49" s="53"/>
      <c r="N49" s="5"/>
      <c r="O49" s="12" t="s">
        <v>12</v>
      </c>
      <c r="P49" s="51">
        <v>96</v>
      </c>
      <c r="Q49" s="52"/>
      <c r="R49" s="53"/>
      <c r="S49" s="6"/>
      <c r="T49" s="2"/>
    </row>
    <row r="50" spans="1:20" ht="21" customHeight="1">
      <c r="A50" s="2"/>
      <c r="B50" s="5"/>
      <c r="C50" s="43"/>
      <c r="D50" s="5"/>
      <c r="E50" s="119"/>
      <c r="F50" s="119"/>
      <c r="G50" s="119"/>
      <c r="H50" s="119"/>
      <c r="I50" s="5"/>
      <c r="J50" s="57" t="s">
        <v>35</v>
      </c>
      <c r="K50" s="58"/>
      <c r="L50" s="58"/>
      <c r="M50" s="59"/>
      <c r="N50" s="5"/>
      <c r="O50" s="21"/>
      <c r="P50" s="65"/>
      <c r="Q50" s="65"/>
      <c r="R50" s="65"/>
      <c r="S50" s="6"/>
      <c r="T50" s="2"/>
    </row>
    <row r="51" spans="1:20">
      <c r="A51" s="2"/>
      <c r="B51" s="5"/>
      <c r="C51" s="43"/>
      <c r="D51" s="5"/>
      <c r="E51" s="119"/>
      <c r="F51" s="119"/>
      <c r="G51" s="119"/>
      <c r="H51" s="119"/>
      <c r="I51" s="5"/>
      <c r="J51" s="26" t="s">
        <v>10</v>
      </c>
      <c r="K51" s="54">
        <v>1</v>
      </c>
      <c r="L51" s="55"/>
      <c r="M51" s="56"/>
      <c r="N51" s="5"/>
      <c r="O51" s="21"/>
      <c r="P51" s="66"/>
      <c r="Q51" s="66"/>
      <c r="R51" s="66"/>
      <c r="S51" s="6"/>
      <c r="T51" s="2"/>
    </row>
    <row r="52" spans="1:20">
      <c r="A52" s="2"/>
      <c r="B52" s="5"/>
      <c r="C52" s="43"/>
      <c r="D52" s="5"/>
      <c r="E52" s="119"/>
      <c r="F52" s="119"/>
      <c r="G52" s="119"/>
      <c r="H52" s="119"/>
      <c r="I52" s="5"/>
      <c r="J52" s="26" t="s">
        <v>11</v>
      </c>
      <c r="K52" s="57">
        <v>48</v>
      </c>
      <c r="L52" s="58"/>
      <c r="M52" s="59"/>
      <c r="N52" s="5"/>
      <c r="O52" s="6"/>
      <c r="P52" s="24"/>
      <c r="Q52" s="24"/>
      <c r="R52" s="25"/>
      <c r="S52" s="6"/>
      <c r="T52" s="2"/>
    </row>
    <row r="53" spans="1:20">
      <c r="A53" s="2"/>
      <c r="B53" s="5"/>
      <c r="C53" s="27"/>
      <c r="D53" s="5"/>
      <c r="E53" s="119"/>
      <c r="F53" s="119"/>
      <c r="G53" s="119"/>
      <c r="H53" s="119"/>
      <c r="I53" s="5"/>
      <c r="J53" s="6"/>
      <c r="K53" s="6"/>
      <c r="L53" s="6"/>
      <c r="M53" s="6"/>
      <c r="N53" s="5"/>
      <c r="O53" s="6"/>
      <c r="P53" s="24"/>
      <c r="Q53" s="24"/>
      <c r="R53" s="25"/>
      <c r="S53" s="6"/>
      <c r="T53" s="2"/>
    </row>
    <row r="54" spans="1:20">
      <c r="A54" s="2"/>
      <c r="B54" s="5"/>
      <c r="C54" s="5"/>
      <c r="D54" s="5"/>
      <c r="F54" s="24"/>
      <c r="G54" s="24"/>
      <c r="H54" s="25"/>
      <c r="I54" s="5"/>
      <c r="J54" s="6"/>
      <c r="K54" s="24"/>
      <c r="L54" s="24"/>
      <c r="M54" s="25"/>
      <c r="N54" s="5"/>
      <c r="P54" s="24"/>
      <c r="Q54" s="24"/>
      <c r="R54" s="25"/>
      <c r="S54" s="6"/>
      <c r="T54" s="2"/>
    </row>
    <row r="55" spans="1:20" ht="14.45" customHeight="1">
      <c r="A55" s="2"/>
      <c r="B55" s="5"/>
      <c r="C55" s="6"/>
      <c r="D55" s="6"/>
      <c r="E55" s="115" t="s">
        <v>36</v>
      </c>
      <c r="F55" s="116"/>
      <c r="G55" s="115">
        <v>20</v>
      </c>
      <c r="H55" s="116"/>
      <c r="I55" s="5"/>
      <c r="J55" s="115" t="s">
        <v>36</v>
      </c>
      <c r="K55" s="116"/>
      <c r="L55" s="115">
        <v>20</v>
      </c>
      <c r="M55" s="116"/>
      <c r="N55" s="5"/>
      <c r="O55" s="115" t="s">
        <v>36</v>
      </c>
      <c r="P55" s="116"/>
      <c r="Q55" s="115">
        <v>20</v>
      </c>
      <c r="R55" s="116"/>
      <c r="S55" s="6"/>
      <c r="T55" s="2"/>
    </row>
    <row r="56" spans="1:20" ht="14.45" customHeight="1">
      <c r="A56" s="2"/>
      <c r="B56" s="5"/>
      <c r="C56" s="6"/>
      <c r="D56" s="6"/>
      <c r="E56" s="44" t="s">
        <v>37</v>
      </c>
      <c r="F56" s="45"/>
      <c r="G56" s="120">
        <f>SUM(F11,F16,F21,F27,F32,F37,F43,F48)</f>
        <v>320</v>
      </c>
      <c r="H56" s="121"/>
      <c r="I56" s="5"/>
      <c r="J56" s="44" t="s">
        <v>37</v>
      </c>
      <c r="K56" s="45"/>
      <c r="L56" s="120">
        <f>SUM(K11,K16,K21,K27,K43,K48)</f>
        <v>224</v>
      </c>
      <c r="M56" s="121"/>
      <c r="N56" s="5"/>
      <c r="O56" s="44" t="s">
        <v>37</v>
      </c>
      <c r="P56" s="45"/>
      <c r="Q56" s="120">
        <f>SUM(P11,P16,P21,P27,P32,P37,P43,P48)</f>
        <v>320</v>
      </c>
      <c r="R56" s="121"/>
      <c r="S56" s="6"/>
      <c r="T56" s="2"/>
    </row>
    <row r="57" spans="1:20" ht="14.45" customHeight="1">
      <c r="A57" s="2"/>
      <c r="B57" s="5"/>
      <c r="C57" s="6"/>
      <c r="D57" s="6"/>
      <c r="E57" s="28" t="s">
        <v>38</v>
      </c>
      <c r="F57" s="29"/>
      <c r="G57" s="113">
        <f>SUM(G11,G16,G21,G27,G32,G37,G43,G48)</f>
        <v>128</v>
      </c>
      <c r="H57" s="114"/>
      <c r="I57" s="5"/>
      <c r="J57" s="28" t="s">
        <v>38</v>
      </c>
      <c r="K57" s="29"/>
      <c r="L57" s="113">
        <f>SUM(L11,L16,L21,L27,L43,L48)</f>
        <v>96</v>
      </c>
      <c r="M57" s="114"/>
      <c r="N57" s="5"/>
      <c r="O57" s="28" t="s">
        <v>38</v>
      </c>
      <c r="P57" s="29"/>
      <c r="Q57" s="113">
        <f>SUM(Q11,Q16,Q21,Q27,Q32,Q37,Q43,Q48)</f>
        <v>128</v>
      </c>
      <c r="R57" s="114"/>
      <c r="S57" s="6"/>
      <c r="T57" s="2"/>
    </row>
    <row r="58" spans="1:20" ht="14.45" customHeight="1">
      <c r="A58" s="2"/>
      <c r="B58" s="5"/>
      <c r="C58" s="6"/>
      <c r="D58" s="6"/>
      <c r="E58" s="117" t="s">
        <v>39</v>
      </c>
      <c r="F58" s="118"/>
      <c r="G58" s="113">
        <f>SUM(H11,H16,H21,H27,H32,H37,H43,H48)</f>
        <v>512</v>
      </c>
      <c r="H58" s="114"/>
      <c r="I58" s="5"/>
      <c r="J58" s="117" t="s">
        <v>40</v>
      </c>
      <c r="K58" s="118"/>
      <c r="L58" s="113">
        <f>SUM(M11,M16,M21,M27,M43,M48)</f>
        <v>352</v>
      </c>
      <c r="M58" s="114"/>
      <c r="N58" s="5"/>
      <c r="O58" s="117" t="s">
        <v>40</v>
      </c>
      <c r="P58" s="118"/>
      <c r="Q58" s="113">
        <f>SUM(R11,R16,R21,R27,R32,R37,R43,R48)</f>
        <v>512</v>
      </c>
      <c r="R58" s="114"/>
      <c r="S58" s="6"/>
      <c r="T58" s="2"/>
    </row>
    <row r="59" spans="1:20" ht="14.45" customHeight="1">
      <c r="A59" s="2"/>
      <c r="B59" s="5"/>
      <c r="C59" s="6"/>
      <c r="D59" s="6"/>
      <c r="E59" s="111" t="s">
        <v>41</v>
      </c>
      <c r="F59" s="112"/>
      <c r="G59" s="113">
        <v>0</v>
      </c>
      <c r="H59" s="114"/>
      <c r="I59" s="5"/>
      <c r="J59" s="111" t="s">
        <v>41</v>
      </c>
      <c r="K59" s="112"/>
      <c r="L59" s="113">
        <f>K31</f>
        <v>240</v>
      </c>
      <c r="M59" s="114"/>
      <c r="N59" s="5"/>
      <c r="O59" s="111" t="s">
        <v>41</v>
      </c>
      <c r="P59" s="112"/>
      <c r="Q59" s="113">
        <f>P51</f>
        <v>0</v>
      </c>
      <c r="R59" s="114"/>
      <c r="S59" s="6"/>
      <c r="T59" s="2"/>
    </row>
    <row r="60" spans="1:20" ht="14.45" customHeight="1">
      <c r="A60" s="2"/>
      <c r="B60" s="5"/>
      <c r="C60" s="6"/>
      <c r="D60" s="6"/>
      <c r="E60" s="46" t="s">
        <v>42</v>
      </c>
      <c r="F60" s="47"/>
      <c r="G60" s="109">
        <v>0</v>
      </c>
      <c r="H60" s="110"/>
      <c r="I60" s="5"/>
      <c r="J60" s="46" t="s">
        <v>42</v>
      </c>
      <c r="K60" s="47"/>
      <c r="L60" s="109">
        <f>K52</f>
        <v>48</v>
      </c>
      <c r="M60" s="110"/>
      <c r="N60" s="5"/>
      <c r="O60" s="46" t="s">
        <v>42</v>
      </c>
      <c r="P60" s="47"/>
      <c r="Q60" s="109">
        <v>0</v>
      </c>
      <c r="R60" s="110"/>
      <c r="S60" s="6"/>
      <c r="T60" s="2"/>
    </row>
    <row r="61" spans="1:20" ht="14.45" customHeight="1">
      <c r="A61" s="2"/>
      <c r="B61" s="5"/>
      <c r="C61" s="6"/>
      <c r="D61" s="6"/>
      <c r="E61" s="108" t="s">
        <v>43</v>
      </c>
      <c r="F61" s="108"/>
      <c r="G61" s="108">
        <f>SUM(G56:H59)</f>
        <v>960</v>
      </c>
      <c r="H61" s="108"/>
      <c r="I61" s="5"/>
      <c r="J61" s="108" t="s">
        <v>43</v>
      </c>
      <c r="K61" s="108"/>
      <c r="L61" s="108">
        <f>SUM(L56:M60)</f>
        <v>960</v>
      </c>
      <c r="M61" s="108"/>
      <c r="N61" s="5"/>
      <c r="O61" s="108" t="s">
        <v>43</v>
      </c>
      <c r="P61" s="108"/>
      <c r="Q61" s="108">
        <f>SUM(Q56:R59)</f>
        <v>960</v>
      </c>
      <c r="R61" s="108"/>
      <c r="S61" s="6"/>
      <c r="T61" s="2"/>
    </row>
    <row r="62" spans="1:20">
      <c r="A62" s="2"/>
      <c r="B62" s="5"/>
      <c r="C62" s="5"/>
      <c r="D62" s="5"/>
      <c r="E62" s="5"/>
      <c r="F62" s="30"/>
      <c r="G62" s="30"/>
      <c r="H62" s="10"/>
      <c r="I62" s="5"/>
      <c r="J62" s="5"/>
      <c r="K62" s="30"/>
      <c r="L62" s="30"/>
      <c r="M62" s="10"/>
      <c r="N62" s="5"/>
      <c r="O62" s="5"/>
      <c r="P62" s="30"/>
      <c r="Q62" s="30"/>
      <c r="R62" s="10"/>
      <c r="S62" s="6"/>
      <c r="T62" s="2"/>
    </row>
    <row r="63" spans="1:20">
      <c r="A63" s="2"/>
      <c r="B63" s="5"/>
      <c r="C63" s="5"/>
      <c r="D63" s="5"/>
      <c r="E63" s="94" t="s">
        <v>44</v>
      </c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6"/>
      <c r="S63" s="6"/>
      <c r="T63" s="2"/>
    </row>
    <row r="64" spans="1:20">
      <c r="A64" s="2"/>
      <c r="B64" s="5"/>
      <c r="C64" s="5"/>
      <c r="D64" s="5"/>
      <c r="E64" s="5"/>
      <c r="F64" s="30"/>
      <c r="G64" s="30"/>
      <c r="H64" s="10"/>
      <c r="I64" s="5"/>
      <c r="J64" s="5"/>
      <c r="K64" s="30"/>
      <c r="L64" s="30"/>
      <c r="M64" s="10"/>
      <c r="N64" s="5"/>
      <c r="O64" s="5"/>
      <c r="P64" s="30"/>
      <c r="Q64" s="30"/>
      <c r="R64" s="10"/>
      <c r="S64" s="6"/>
      <c r="T64" s="2"/>
    </row>
    <row r="65" spans="1:20" ht="24" customHeight="1">
      <c r="A65" s="2"/>
      <c r="B65" s="5"/>
      <c r="C65" s="5"/>
      <c r="D65" s="97" t="s">
        <v>45</v>
      </c>
      <c r="E65" s="97"/>
      <c r="F65" s="97"/>
      <c r="G65" s="97"/>
      <c r="H65" s="97"/>
      <c r="I65" s="31"/>
      <c r="J65" s="98" t="s">
        <v>46</v>
      </c>
      <c r="K65" s="99"/>
      <c r="L65" s="99"/>
      <c r="M65" s="99"/>
      <c r="N65" s="99"/>
      <c r="O65" s="99"/>
      <c r="P65" s="99"/>
      <c r="Q65" s="99"/>
      <c r="R65" s="100"/>
      <c r="S65" s="32"/>
      <c r="T65" s="2"/>
    </row>
    <row r="66" spans="1:20" ht="14.45" customHeight="1">
      <c r="A66" s="2"/>
      <c r="B66" s="5"/>
      <c r="C66" s="5"/>
      <c r="D66" s="101" t="s">
        <v>47</v>
      </c>
      <c r="E66" s="102"/>
      <c r="F66" s="103"/>
      <c r="G66" s="104" t="s">
        <v>48</v>
      </c>
      <c r="H66" s="104"/>
      <c r="I66" s="33"/>
      <c r="J66" s="105" t="s">
        <v>49</v>
      </c>
      <c r="K66" s="106"/>
      <c r="L66" s="106"/>
      <c r="M66" s="107"/>
      <c r="N66" s="40" t="s">
        <v>50</v>
      </c>
      <c r="O66" s="63" t="s">
        <v>51</v>
      </c>
      <c r="P66" s="64"/>
      <c r="Q66" s="64"/>
      <c r="R66" s="64"/>
      <c r="S66" s="34"/>
      <c r="T66" s="2"/>
    </row>
    <row r="67" spans="1:20" ht="13.9" customHeight="1">
      <c r="A67" s="2"/>
      <c r="B67" s="5"/>
      <c r="C67" s="5"/>
      <c r="D67" s="88" t="s">
        <v>52</v>
      </c>
      <c r="E67" s="89"/>
      <c r="F67" s="90"/>
      <c r="G67" s="83">
        <f>SUM(G56+L56+Q56)</f>
        <v>864</v>
      </c>
      <c r="H67" s="84"/>
      <c r="I67" s="33"/>
      <c r="J67" s="137" t="s">
        <v>53</v>
      </c>
      <c r="K67" s="137"/>
      <c r="L67" s="137"/>
      <c r="M67" s="137"/>
      <c r="N67" s="138">
        <f>K51</f>
        <v>1</v>
      </c>
      <c r="O67" s="139" t="str">
        <f>J46</f>
        <v xml:space="preserve">Emprendimiento e innovación </v>
      </c>
      <c r="P67" s="139"/>
      <c r="Q67" s="139"/>
      <c r="R67" s="139"/>
      <c r="S67" s="35"/>
      <c r="T67" s="2"/>
    </row>
    <row r="68" spans="1:20" ht="13.9" customHeight="1">
      <c r="A68" s="2"/>
      <c r="B68" s="5"/>
      <c r="C68" s="5"/>
      <c r="D68" s="80" t="s">
        <v>54</v>
      </c>
      <c r="E68" s="81"/>
      <c r="F68" s="82"/>
      <c r="G68" s="83">
        <f>SUM(G57,L57,Q57)</f>
        <v>352</v>
      </c>
      <c r="H68" s="84"/>
      <c r="I68" s="33"/>
      <c r="J68" s="137"/>
      <c r="K68" s="137"/>
      <c r="L68" s="137"/>
      <c r="M68" s="137"/>
      <c r="N68" s="138"/>
      <c r="O68" s="139"/>
      <c r="P68" s="139"/>
      <c r="Q68" s="139"/>
      <c r="R68" s="139"/>
      <c r="S68" s="35"/>
      <c r="T68" s="2"/>
    </row>
    <row r="69" spans="1:20" ht="14.45" customHeight="1">
      <c r="A69" s="2"/>
      <c r="B69" s="5"/>
      <c r="C69" s="5"/>
      <c r="D69" s="91" t="s">
        <v>55</v>
      </c>
      <c r="E69" s="92"/>
      <c r="F69" s="93"/>
      <c r="G69" s="83">
        <f>SUM(G58,L58,Q58)</f>
        <v>1376</v>
      </c>
      <c r="H69" s="84"/>
      <c r="I69" s="33"/>
      <c r="J69" s="137" t="s">
        <v>23</v>
      </c>
      <c r="K69" s="137"/>
      <c r="L69" s="137"/>
      <c r="M69" s="137"/>
      <c r="N69" s="138">
        <f>K30</f>
        <v>5</v>
      </c>
      <c r="O69" s="139" t="str">
        <f>J25</f>
        <v xml:space="preserve">Fundamentos de bases de datos </v>
      </c>
      <c r="P69" s="139"/>
      <c r="Q69" s="139"/>
      <c r="R69" s="139"/>
      <c r="S69" s="35"/>
      <c r="T69" s="2"/>
    </row>
    <row r="70" spans="1:20" ht="16.149999999999999" customHeight="1">
      <c r="A70" s="2"/>
      <c r="B70" s="5"/>
      <c r="C70" s="5"/>
      <c r="D70" s="60" t="s">
        <v>56</v>
      </c>
      <c r="E70" s="61"/>
      <c r="F70" s="62"/>
      <c r="G70" s="83">
        <f>SUM(K31)</f>
        <v>240</v>
      </c>
      <c r="H70" s="84"/>
      <c r="I70" s="36"/>
      <c r="J70" s="137"/>
      <c r="K70" s="137"/>
      <c r="L70" s="137"/>
      <c r="M70" s="137"/>
      <c r="N70" s="138"/>
      <c r="O70" s="139"/>
      <c r="P70" s="139"/>
      <c r="Q70" s="139"/>
      <c r="R70" s="139"/>
      <c r="S70" s="35"/>
      <c r="T70" s="2"/>
    </row>
    <row r="71" spans="1:20" ht="13.9" customHeight="1" thickBot="1">
      <c r="A71" s="2"/>
      <c r="B71" s="5"/>
      <c r="C71" s="5"/>
      <c r="D71" s="85" t="s">
        <v>35</v>
      </c>
      <c r="E71" s="86"/>
      <c r="F71" s="87"/>
      <c r="G71" s="83">
        <f>L60</f>
        <v>48</v>
      </c>
      <c r="H71" s="84"/>
      <c r="I71" s="33"/>
      <c r="J71" s="38"/>
      <c r="K71" s="38"/>
      <c r="L71" s="38"/>
      <c r="M71" s="38"/>
      <c r="N71" s="41"/>
      <c r="O71" s="39"/>
      <c r="P71" s="39"/>
      <c r="Q71" s="39"/>
      <c r="R71" s="39"/>
      <c r="S71" s="35"/>
      <c r="T71" s="2"/>
    </row>
    <row r="72" spans="1:20" ht="14.45" customHeight="1">
      <c r="A72" s="2"/>
      <c r="B72" s="5"/>
      <c r="C72" s="5"/>
      <c r="D72" s="72" t="s">
        <v>57</v>
      </c>
      <c r="E72" s="73"/>
      <c r="F72" s="74"/>
      <c r="G72" s="72">
        <f>SUM(G67:H71)</f>
        <v>2880</v>
      </c>
      <c r="H72" s="74"/>
      <c r="I72" s="37"/>
      <c r="J72" s="131" t="s">
        <v>58</v>
      </c>
      <c r="K72" s="132"/>
      <c r="L72" s="132"/>
      <c r="M72" s="132"/>
      <c r="N72" s="132"/>
      <c r="O72" s="132"/>
      <c r="P72" s="132"/>
      <c r="Q72" s="132"/>
      <c r="R72" s="133"/>
      <c r="S72" s="35"/>
      <c r="T72" s="2"/>
    </row>
    <row r="73" spans="1:20" ht="49.9" customHeight="1" thickBot="1">
      <c r="A73" s="2"/>
      <c r="B73" s="5"/>
      <c r="C73" s="5"/>
      <c r="D73" s="5"/>
      <c r="E73" s="5"/>
      <c r="F73" s="30"/>
      <c r="G73" s="30"/>
      <c r="H73" s="6"/>
      <c r="I73" s="6"/>
      <c r="J73" s="134"/>
      <c r="K73" s="135"/>
      <c r="L73" s="135"/>
      <c r="M73" s="135"/>
      <c r="N73" s="135"/>
      <c r="O73" s="135"/>
      <c r="P73" s="135"/>
      <c r="Q73" s="135"/>
      <c r="R73" s="136"/>
      <c r="S73" s="6"/>
      <c r="T73" s="2"/>
    </row>
    <row r="74" spans="1:20" ht="6.6" customHeight="1">
      <c r="A74" s="2"/>
      <c r="B74" s="5"/>
      <c r="C74" s="5"/>
      <c r="D74" s="5"/>
      <c r="E74" s="5"/>
      <c r="F74" s="30"/>
      <c r="G74" s="30"/>
      <c r="H74" s="6"/>
      <c r="I74" s="6"/>
      <c r="J74" s="5"/>
      <c r="K74" s="30"/>
      <c r="L74" s="30"/>
      <c r="M74" s="6"/>
      <c r="N74" s="6"/>
      <c r="O74" s="5"/>
      <c r="P74" s="30"/>
      <c r="Q74" s="30"/>
      <c r="R74" s="6"/>
      <c r="S74" s="6"/>
      <c r="T74" s="2"/>
    </row>
    <row r="75" spans="1:20" ht="6.6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</sheetData>
  <mergeCells count="152">
    <mergeCell ref="J72:R73"/>
    <mergeCell ref="J67:M68"/>
    <mergeCell ref="N67:N68"/>
    <mergeCell ref="O67:R68"/>
    <mergeCell ref="J69:M70"/>
    <mergeCell ref="N69:N70"/>
    <mergeCell ref="O69:R70"/>
    <mergeCell ref="B9:B49"/>
    <mergeCell ref="E9:H9"/>
    <mergeCell ref="J9:M9"/>
    <mergeCell ref="O9:R9"/>
    <mergeCell ref="F10:H10"/>
    <mergeCell ref="K10:M10"/>
    <mergeCell ref="P10:R10"/>
    <mergeCell ref="E25:H25"/>
    <mergeCell ref="J25:M25"/>
    <mergeCell ref="O25:R25"/>
    <mergeCell ref="F26:H26"/>
    <mergeCell ref="K26:M26"/>
    <mergeCell ref="P26:R26"/>
    <mergeCell ref="F20:H20"/>
    <mergeCell ref="K20:M20"/>
    <mergeCell ref="P20:R20"/>
    <mergeCell ref="F36:H36"/>
    <mergeCell ref="E30:H30"/>
    <mergeCell ref="O30:R30"/>
    <mergeCell ref="F31:H31"/>
    <mergeCell ref="P31:R31"/>
    <mergeCell ref="P47:R47"/>
    <mergeCell ref="E41:H41"/>
    <mergeCell ref="H2:S2"/>
    <mergeCell ref="H3:S3"/>
    <mergeCell ref="H4:S4"/>
    <mergeCell ref="E7:H7"/>
    <mergeCell ref="J7:M7"/>
    <mergeCell ref="O7:R7"/>
    <mergeCell ref="E19:H19"/>
    <mergeCell ref="J19:M19"/>
    <mergeCell ref="O19:R19"/>
    <mergeCell ref="E14:H14"/>
    <mergeCell ref="J14:M14"/>
    <mergeCell ref="O14:R14"/>
    <mergeCell ref="F15:H15"/>
    <mergeCell ref="K15:M15"/>
    <mergeCell ref="P15:R15"/>
    <mergeCell ref="P17:R17"/>
    <mergeCell ref="J41:M41"/>
    <mergeCell ref="F42:H42"/>
    <mergeCell ref="K42:M42"/>
    <mergeCell ref="P42:R42"/>
    <mergeCell ref="P36:R36"/>
    <mergeCell ref="E35:H35"/>
    <mergeCell ref="J35:M35"/>
    <mergeCell ref="O35:R35"/>
    <mergeCell ref="G56:H56"/>
    <mergeCell ref="L56:M56"/>
    <mergeCell ref="Q56:R56"/>
    <mergeCell ref="E50:H53"/>
    <mergeCell ref="K36:M36"/>
    <mergeCell ref="G58:H58"/>
    <mergeCell ref="L58:M58"/>
    <mergeCell ref="Q58:R58"/>
    <mergeCell ref="E55:F55"/>
    <mergeCell ref="G55:H55"/>
    <mergeCell ref="J55:K55"/>
    <mergeCell ref="L55:M55"/>
    <mergeCell ref="O55:P55"/>
    <mergeCell ref="Q55:R55"/>
    <mergeCell ref="E58:F58"/>
    <mergeCell ref="J58:K58"/>
    <mergeCell ref="O58:P58"/>
    <mergeCell ref="G57:H57"/>
    <mergeCell ref="L57:M57"/>
    <mergeCell ref="Q57:R57"/>
    <mergeCell ref="G61:H61"/>
    <mergeCell ref="J61:K61"/>
    <mergeCell ref="L61:M61"/>
    <mergeCell ref="O61:P61"/>
    <mergeCell ref="Q61:R61"/>
    <mergeCell ref="J59:K59"/>
    <mergeCell ref="G59:H59"/>
    <mergeCell ref="E59:F59"/>
    <mergeCell ref="O59:P59"/>
    <mergeCell ref="L59:M59"/>
    <mergeCell ref="Q59:R59"/>
    <mergeCell ref="G60:H60"/>
    <mergeCell ref="O60:P60"/>
    <mergeCell ref="D72:F72"/>
    <mergeCell ref="G72:H72"/>
    <mergeCell ref="E46:H46"/>
    <mergeCell ref="F47:H47"/>
    <mergeCell ref="D68:F68"/>
    <mergeCell ref="G68:H68"/>
    <mergeCell ref="D70:F70"/>
    <mergeCell ref="G70:H70"/>
    <mergeCell ref="D71:F71"/>
    <mergeCell ref="G71:H71"/>
    <mergeCell ref="D67:F67"/>
    <mergeCell ref="G67:H67"/>
    <mergeCell ref="D69:F69"/>
    <mergeCell ref="G69:H69"/>
    <mergeCell ref="E63:R63"/>
    <mergeCell ref="D65:H65"/>
    <mergeCell ref="J65:R65"/>
    <mergeCell ref="D66:F66"/>
    <mergeCell ref="G66:H66"/>
    <mergeCell ref="J66:M66"/>
    <mergeCell ref="E61:F61"/>
    <mergeCell ref="Q60:R60"/>
    <mergeCell ref="L60:M60"/>
    <mergeCell ref="O56:P56"/>
    <mergeCell ref="K28:M28"/>
    <mergeCell ref="K44:M44"/>
    <mergeCell ref="K49:M49"/>
    <mergeCell ref="K51:M51"/>
    <mergeCell ref="K52:M52"/>
    <mergeCell ref="J50:M50"/>
    <mergeCell ref="J29:M29"/>
    <mergeCell ref="O66:R66"/>
    <mergeCell ref="K30:M30"/>
    <mergeCell ref="P50:R50"/>
    <mergeCell ref="K31:M31"/>
    <mergeCell ref="P51:R51"/>
    <mergeCell ref="P49:R49"/>
    <mergeCell ref="J46:M46"/>
    <mergeCell ref="O46:R46"/>
    <mergeCell ref="K47:M47"/>
    <mergeCell ref="O41:R41"/>
    <mergeCell ref="C9:C22"/>
    <mergeCell ref="C25:C38"/>
    <mergeCell ref="E56:F56"/>
    <mergeCell ref="E60:F60"/>
    <mergeCell ref="J56:K56"/>
    <mergeCell ref="J60:K60"/>
    <mergeCell ref="P22:R22"/>
    <mergeCell ref="P28:R28"/>
    <mergeCell ref="P33:R33"/>
    <mergeCell ref="P38:R38"/>
    <mergeCell ref="P44:R44"/>
    <mergeCell ref="C41:C52"/>
    <mergeCell ref="F49:H49"/>
    <mergeCell ref="F12:H12"/>
    <mergeCell ref="K12:M12"/>
    <mergeCell ref="P12:R12"/>
    <mergeCell ref="F17:H17"/>
    <mergeCell ref="F22:H22"/>
    <mergeCell ref="F28:H28"/>
    <mergeCell ref="F33:H33"/>
    <mergeCell ref="F38:H38"/>
    <mergeCell ref="F44:H44"/>
    <mergeCell ref="K17:M17"/>
    <mergeCell ref="K22:M22"/>
  </mergeCells>
  <pageMargins left="1.38" right="0.70866141732283472" top="0.36" bottom="0.36" header="0.31496062992125984" footer="0.31496062992125984"/>
  <pageSetup paperSize="9"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82c1c-e295-4df5-be42-6ed038f3ed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F6208C90F71499DA1CC42E6F0B29F" ma:contentTypeVersion="13" ma:contentTypeDescription="Crear nuevo documento." ma:contentTypeScope="" ma:versionID="a1310f6306d9e2030be982838df3293a">
  <xsd:schema xmlns:xsd="http://www.w3.org/2001/XMLSchema" xmlns:xs="http://www.w3.org/2001/XMLSchema" xmlns:p="http://schemas.microsoft.com/office/2006/metadata/properties" xmlns:ns2="33082c1c-e295-4df5-be42-6ed038f3edcd" xmlns:ns3="8b54f572-cb18-4f7e-b2fe-86ab7aefe063" targetNamespace="http://schemas.microsoft.com/office/2006/metadata/properties" ma:root="true" ma:fieldsID="d8938fc46b7ae5130a5ca1ab89e495de" ns2:_="" ns3:_="">
    <xsd:import namespace="33082c1c-e295-4df5-be42-6ed038f3edcd"/>
    <xsd:import namespace="8b54f572-cb18-4f7e-b2fe-86ab7aefe0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82c1c-e295-4df5-be42-6ed038f3e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7c79fdb-c2ec-49a1-a2d4-839672120c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f572-cb18-4f7e-b2fe-86ab7aefe06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524E15-46C8-4BDD-AFFF-BE1E9BEE4A89}"/>
</file>

<file path=customXml/itemProps2.xml><?xml version="1.0" encoding="utf-8"?>
<ds:datastoreItem xmlns:ds="http://schemas.openxmlformats.org/officeDocument/2006/customXml" ds:itemID="{E971E6E5-3C99-4297-893D-83F361A9F6A6}"/>
</file>

<file path=customXml/itemProps3.xml><?xml version="1.0" encoding="utf-8"?>
<ds:datastoreItem xmlns:ds="http://schemas.openxmlformats.org/officeDocument/2006/customXml" ds:itemID="{FAE9AF35-906F-417E-97B2-02EDD72714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Christian Wladimir Bermudez Gallegos</cp:lastModifiedBy>
  <cp:revision/>
  <dcterms:created xsi:type="dcterms:W3CDTF">2023-10-04T10:00:32Z</dcterms:created>
  <dcterms:modified xsi:type="dcterms:W3CDTF">2026-06-02T14:43:08Z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0x010100469F6208C90F71499DA1CC42E6F0B29F</vt:lpwstr>
  </property>
</Properties>
</file>